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5978ad148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46cad5b2fdc45ce"/>
    <x:sheet xmlns:r="http://schemas.openxmlformats.org/officeDocument/2006/relationships" name="4-Week Timeline" sheetId="2" r:id="R6562fac279144e31"/>
    <x:sheet xmlns:r="http://schemas.openxmlformats.org/officeDocument/2006/relationships" name="Workstream Matrix" sheetId="3" r:id="Rcc68befad8094673"/>
    <x:sheet xmlns:r="http://schemas.openxmlformats.org/officeDocument/2006/relationships" name="Architecture Flow" sheetId="4" r:id="R6857ce68150a439b"/>
    <x:sheet xmlns:r="http://schemas.openxmlformats.org/officeDocument/2006/relationships" name="System Requirements" sheetId="5" r:id="Re1f4f6f2636a4eb6"/>
    <x:sheet xmlns:r="http://schemas.openxmlformats.org/officeDocument/2006/relationships" name="GPU Cloud Cost" sheetId="6" r:id="R875c5e9b1b624260"/>
    <x:sheet xmlns:r="http://schemas.openxmlformats.org/officeDocument/2006/relationships" name="Scoring Model" sheetId="7" r:id="R7e0d7feb82234ba5"/>
    <x:sheet xmlns:r="http://schemas.openxmlformats.org/officeDocument/2006/relationships" name="Risks Decisions" sheetId="8" r:id="R127a252f19fd42d4"/>
    <x:sheet xmlns:r="http://schemas.openxmlformats.org/officeDocument/2006/relationships" name="Definition of Done" sheetId="9" r:id="R62ecd9f48b424144"/>
    <x:sheet xmlns:r="http://schemas.openxmlformats.org/officeDocument/2006/relationships" name="Source Notes" sheetId="10" r:id="Reaf91b24f37b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$0.000"/>
    <x:numFmt numFmtId="202" formatCode="₹#,##0"/>
    <x:numFmt numFmtId="203" formatCode="0%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2"/>
      <x:color rgb="FFFFFFFF"/>
      <x:name val="Carlito"/>
    </x:font>
    <x:font>
      <x:b/>
      <x:sz val="11"/>
      <x:color rgb="FF0B2742"/>
      <x:name val="Carlito"/>
    </x:font>
    <x:font>
      <x:b/>
      <x:sz val="13"/>
      <x:color rgb="FF1B9AAA"/>
      <x:name val="Carlito"/>
    </x:font>
    <x:font>
      <x:sz val="10"/>
      <x:color rgb="FF64748B"/>
      <x:name val="Carlito"/>
    </x:font>
    <x:font>
      <x:sz val="10"/>
      <x:color rgb="FF111827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  <x:font>
      <x:b/>
      <x:sz val="10"/>
      <x:color rgb="FF0B2742"/>
      <x:name val="Carlito"/>
    </x:font>
    <x:font>
      <x:b/>
      <x:sz val="10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742"/>
      </x:patternFill>
    </x:fill>
    <x:fill>
      <x:patternFill patternType="solid">
        <x:fgColor rgb="FF0F4C81"/>
      </x:patternFill>
    </x:fill>
    <x:fill>
      <x:patternFill patternType="solid">
        <x:fgColor rgb="FFEAF3F8"/>
      </x:patternFill>
    </x:fill>
    <x:fill>
      <x:patternFill patternType="solid">
        <x:fgColor rgb="FFF8FBFD"/>
      </x:patternFill>
    </x:fill>
    <x:fill>
      <x:patternFill patternType="solid">
        <x:fgColor rgb="FFFFF7E6"/>
      </x:patternFill>
    </x:fill>
    <x:fill>
      <x:patternFill patternType="solid">
        <x:fgColor rgb="FFE8F7F8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right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horizontal="center" vertical="top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horizontal="center" vertical="top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horizontal="center" vertical="top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2" fontId="7" fillId="0" borderId="0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3" fontId="7" fillId="0" borderId="0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 applyAlignment="1">
      <x:alignment vertical="top" wrapText="1"/>
    </x:xf>
    <x:xf numFmtId="203" fontId="9" fillId="6" borderId="0" xfId="0" applyNumberFormat="1" applyFont="1" applyFill="1" applyBorder="1" applyAlignment="1">
      <x:alignment vertical="center" wrapText="1"/>
    </x:xf>
    <x:xf numFmtId="203" fontId="9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20fb03e81406a" /><Relationship Type="http://schemas.openxmlformats.org/officeDocument/2006/relationships/theme" Target="/xl/theme/theme1.xml" Id="R0212456954ab420b" /><Relationship Type="http://schemas.openxmlformats.org/officeDocument/2006/relationships/sharedStrings" Target="/xl/sharedStrings.xml" Id="R87fbfc868d044239" /><Relationship Type="http://schemas.openxmlformats.org/officeDocument/2006/relationships/worksheet" Target="/xl/worksheets/sheet1.xml" Id="R946cad5b2fdc45ce" /><Relationship Type="http://schemas.openxmlformats.org/officeDocument/2006/relationships/worksheet" Target="/xl/worksheets/sheet2.xml" Id="R6562fac279144e31" /><Relationship Type="http://schemas.openxmlformats.org/officeDocument/2006/relationships/worksheet" Target="/xl/worksheets/sheet3.xml" Id="Rcc68befad8094673" /><Relationship Type="http://schemas.openxmlformats.org/officeDocument/2006/relationships/worksheet" Target="/xl/worksheets/sheet4.xml" Id="R6857ce68150a439b" /><Relationship Type="http://schemas.openxmlformats.org/officeDocument/2006/relationships/worksheet" Target="/xl/worksheets/sheet5.xml" Id="Re1f4f6f2636a4eb6" /><Relationship Type="http://schemas.openxmlformats.org/officeDocument/2006/relationships/worksheet" Target="/xl/worksheets/sheet6.xml" Id="R875c5e9b1b624260" /><Relationship Type="http://schemas.openxmlformats.org/officeDocument/2006/relationships/worksheet" Target="/xl/worksheets/sheet7.xml" Id="R7e0d7feb82234ba5" /><Relationship Type="http://schemas.openxmlformats.org/officeDocument/2006/relationships/worksheet" Target="/xl/worksheets/sheet8.xml" Id="R127a252f19fd42d4" /><Relationship Type="http://schemas.openxmlformats.org/officeDocument/2006/relationships/worksheet" Target="/xl/worksheets/sheet9.xml" Id="R62ecd9f48b424144" /><Relationship Type="http://schemas.openxmlformats.org/officeDocument/2006/relationships/worksheet" Target="/xl/worksheets/sheet10.xml" Id="Reaf91b24f37b4317" /></Relationships>
</file>

<file path=xl/tables/table1.xml><?xml version="1.0" encoding="utf-8"?>
<x:table xmlns:x="http://schemas.openxmlformats.org/spreadsheetml/2006/main" id="1" name="SummaryScopeTable" displayName="SummaryScopeTable" ref="A21:C25" headerRowCount="1">
  <x:tableColumns count="3">
    <x:tableColumn id="1" name="Scope pillar"/>
    <x:tableColumn id="2" name="What is delivered"/>
    <x:tableColumn id="3" name="Excel tracking view"/>
  </x:tableColumns>
  <x:tableStyleInfo name="TableStyleMedium2" showRowStripes="1"/>
</x:table>
</file>

<file path=xl/tables/table2.xml><?xml version="1.0" encoding="utf-8"?>
<x:table xmlns:x="http://schemas.openxmlformats.org/spreadsheetml/2006/main" id="2" name="TimelineTable" displayName="TimelineTable" ref="A4:H8" headerRowCount="1">
  <x:tableColumns count="8">
    <x:tableColumn id="1" name="Week"/>
    <x:tableColumn id="2" name="Workstream"/>
    <x:tableColumn id="3" name="Deadline"/>
    <x:tableColumn id="4" name="Committed Output"/>
    <x:tableColumn id="5" name="Acceptance Criteria"/>
    <x:tableColumn id="6" name="Primary Dependency"/>
    <x:tableColumn id="7" name="Fallback"/>
    <x:tableColumn id="8" name="Owner / Reviewer"/>
  </x:tableColumns>
  <x:tableStyleInfo name="TableStyleMedium2" showRowStripes="1"/>
</x:table>
</file>

<file path=xl/tables/table3.xml><?xml version="1.0" encoding="utf-8"?>
<x:table xmlns:x="http://schemas.openxmlformats.org/spreadsheetml/2006/main" id="3" name="SuccessMetricsTable" displayName="SuccessMetricsTable" ref="A13:D17" headerRowCount="1">
  <x:tableColumns count="4">
    <x:tableColumn id="1" name="Metric"/>
    <x:tableColumn id="2" name="Target"/>
    <x:tableColumn id="3" name="How it is measured"/>
    <x:tableColumn id="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WorkstreamTable" displayName="WorkstreamTable" ref="A4:F9" headerRowCount="1">
  <x:tableColumns count="6">
    <x:tableColumn id="1" name="Workstream"/>
    <x:tableColumn id="2" name="Week 1"/>
    <x:tableColumn id="3" name="Week 2"/>
    <x:tableColumn id="4" name="Week 3"/>
    <x:tableColumn id="5" name="Week 4"/>
    <x:tableColumn id="6" name="Completion Gate"/>
  </x:tableColumns>
  <x:tableStyleInfo name="TableStyleMedium2" showRowStripes="1"/>
</x:table>
</file>

<file path=xl/tables/table5.xml><?xml version="1.0" encoding="utf-8"?>
<x:table xmlns:x="http://schemas.openxmlformats.org/spreadsheetml/2006/main" id="5" name="ArchitectureTable" displayName="ArchitectureTable" ref="A4:F10" headerRowCount="1">
  <x:tableColumns count="6">
    <x:tableColumn id="1" name="Layer / Component"/>
    <x:tableColumn id="2" name="Role in System"/>
    <x:tableColumn id="3" name="Stores / Processes"/>
    <x:tableColumn id="4" name="Key Dependency"/>
    <x:tableColumn id="5" name="Pilot Mode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ystemReqTable" displayName="SystemReqTable" ref="A4:G11" headerRowCount="1">
  <x:tableColumns count="7">
    <x:tableColumn id="1" name="Component"/>
    <x:tableColumn id="2" name="CPU / GPU"/>
    <x:tableColumn id="3" name="RAM"/>
    <x:tableColumn id="4" name="Storage"/>
    <x:tableColumn id="5" name="Purpose"/>
    <x:tableColumn id="6" name="Required for Pilot?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GPUCostTable" displayName="GPUCostTable" ref="A11:I16" headerRowCount="1">
  <x:tableColumns count="9">
    <x:tableColumn id="1" name="Scenario"/>
    <x:tableColumn id="2" name="GPU"/>
    <x:tableColumn id="3" name="Typical Spec"/>
    <x:tableColumn id="4" name="USD/hr"/>
    <x:tableColumn id="5" name="INR/hr"/>
    <x:tableColumn id="6" name="Cost @160h"/>
    <x:tableColumn id="7" name="Cost @730h"/>
    <x:tableColumn id="8" name="Use"/>
    <x:tableColumn id="9" name="Decision"/>
  </x:tableColumns>
  <x:tableStyleInfo name="TableStyleMedium2" showRowStripes="1"/>
</x:table>
</file>

<file path=xl/tables/table8.xml><?xml version="1.0" encoding="utf-8"?>
<x:table xmlns:x="http://schemas.openxmlformats.org/spreadsheetml/2006/main" id="8" name="ScoringTable" displayName="ScoringTable" ref="A4:E9" headerRowCount="1">
  <x:tableColumns count="5">
    <x:tableColumn id="1" name="Score Component"/>
    <x:tableColumn id="2" name="Weight"/>
    <x:tableColumn id="3" name="What it Checks"/>
    <x:tableColumn id="4" name="Example Signal"/>
    <x:tableColumn id="5" name="Owner of Calibration"/>
  </x:tableColumns>
  <x:tableStyleInfo name="TableStyleMedium2" showRowStripes="1"/>
</x:table>
</file>

<file path=xl/tables/table9.xml><?xml version="1.0" encoding="utf-8"?>
<x:table xmlns:x="http://schemas.openxmlformats.org/spreadsheetml/2006/main" id="9" name="MismatchFlagTable" displayName="MismatchFlagTable" ref="A14:B19" headerRowCount="1">
  <x:tableColumns count="2">
    <x:tableColumn id="1" name="Mismatch Flag"/>
    <x:tableColumn id="2" name="What gets surfaced"/>
  </x:tableColumns>
  <x:tableStyleInfo name="TableStyleMedium2" showRowStripes="1"/>
</x:table>
</file>

<file path=xl/tables/table10.xml><?xml version="1.0" encoding="utf-8"?>
<x:table xmlns:x="http://schemas.openxmlformats.org/spreadsheetml/2006/main" id="10" name="RiskDecisionTable" displayName="RiskDecisionTable" ref="A4:E12" headerRowCount="1">
  <x:tableColumns count="5">
    <x:tableColumn id="1" name="Risk / Decision Area"/>
    <x:tableColumn id="2" name="Risk or Required Decision"/>
    <x:tableColumn id="3" name="Control / Action"/>
    <x:tableColumn id="4" name="Deadline"/>
    <x:tableColumn id="5" name="Escalation Trigger"/>
  </x:tableColumns>
  <x:tableStyleInfo name="TableStyleMedium2" showRowStripes="1"/>
</x:table>
</file>

<file path=xl/tables/table11.xml><?xml version="1.0" encoding="utf-8"?>
<x:table xmlns:x="http://schemas.openxmlformats.org/spreadsheetml/2006/main" id="11" name="DefinitionDoneTable" displayName="DefinitionDoneTable" ref="A4:F9" headerRowCount="1">
  <x:tableColumns count="6">
    <x:tableColumn id="1" name="No."/>
    <x:tableColumn id="2" name="Deliverable"/>
    <x:tableColumn id="3" name="Description"/>
    <x:tableColumn id="4" name="Acceptance Evidence"/>
    <x:tableColumn id="5" name="Status"/>
    <x:tableColumn id="6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SourceNotesTable" displayName="SourceNotesTable" ref="A4:C9" headerRowCount="1">
  <x:tableColumns count="3">
    <x:tableColumn id="1" name="Assumption / Source"/>
    <x:tableColumn id="2" name="Value"/>
    <x:tableColumn id="3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dcceb8997845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783866b40640b7" /><Relationship Type="http://schemas.openxmlformats.org/officeDocument/2006/relationships/table" Target="/xl/tables/table3.xml" Id="Ra55c0b026d0241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351747d99214d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1b12254f45941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b5abd7bc8c564a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71e4914cb2d43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0df1257a55d4ef6" /><Relationship Type="http://schemas.openxmlformats.org/officeDocument/2006/relationships/table" Target="/xl/tables/table9.xml" Id="Rc282bf2ab74c49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6cbf5fbb1bc341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d1a275f9960b44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4b695c2e4f254b6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>
      <x:c r="A1" s="6" t="str">
        <x:v>Universal Sompo AI Claim Evidence Finder — Excel Build Plan</x:v>
      </x:c>
      <x:c r="B1" s="6"/>
      <x:c r="C1" s="6"/>
      <x:c r="D1" s="6"/>
      <x:c r="E1" s="6"/>
      <x:c r="F1" s="6"/>
      <x:c r="G1" s="6"/>
      <x:c r="H1" s="6"/>
    </x:row>
    <x:row r="2">
      <x:c r="A2" s="13" t="str">
        <x:v>Structured Excel conversion of the 4-week build plan: scope, timeline, architecture, requirements, GPU/cloud cost and delivery controls.</x:v>
      </x:c>
      <x:c r="B2" s="13"/>
      <x:c r="C2" s="13"/>
      <x:c r="D2" s="13"/>
      <x:c r="E2" s="13"/>
      <x:c r="F2" s="13"/>
      <x:c r="G2" s="13"/>
      <x:c r="H2" s="13"/>
    </x:row>
    <x:row r="4">
      <x:c r="A4" s="20" t="str">
        <x:v>Dashboard View</x:v>
      </x:c>
      <x:c r="B4" s="20"/>
      <x:c r="C4" s="20"/>
      <x:c r="D4" s="20"/>
      <x:c r="E4" s="20"/>
      <x:c r="F4" s="20"/>
      <x:c r="G4" s="20"/>
      <x:c r="H4" s="20"/>
    </x:row>
    <x:row r="6">
      <x:c r="A6" s="28" t="str">
        <x:v>Pilot duration</x:v>
      </x:c>
      <x:c r="B6" s="34" t="str">
        <x:v>4 weeks / 20 working days</x:v>
      </x:c>
      <x:c r="D6" s="28" t="str">
        <x:v>Daily volume assumption</x:v>
      </x:c>
      <x:c r="E6" s="34" t="str">
        <x:v>20–50 complaints/day</x:v>
      </x:c>
      <x:c r="G6" s="28" t="str">
        <x:v>Evidence turnaround target</x:v>
      </x:c>
      <x:c r="H6" s="34" t="str">
        <x:v>60–90 sec</x:v>
      </x:c>
    </x:row>
    <x:row r="7">
      <x:c r="A7" s="41" t="str">
        <x:v>Compressed pilot delivery window</x:v>
      </x:c>
      <x:c r="B7" s="41"/>
      <x:c r="D7" s="41" t="str">
        <x:v>3–5 concurrent investigators</x:v>
      </x:c>
      <x:c r="E7" s="41"/>
      <x:c r="G7" s="41" t="str">
        <x:v>Per complaint evidence discovery</x:v>
      </x:c>
      <x:c r="H7" s="41"/>
    </x:row>
    <x:row r="8">
      <x:c r="A8" s="41"/>
      <x:c r="B8" s="41"/>
      <x:c r="D8" s="41"/>
      <x:c r="E8" s="41"/>
      <x:c r="G8" s="41"/>
      <x:c r="H8" s="41"/>
    </x:row>
    <x:row r="10">
      <x:c r="A10" s="28" t="str">
        <x:v>Default infra stance</x:v>
      </x:c>
      <x:c r="B10" s="34" t="str">
        <x:v>API-first / no GPU</x:v>
      </x:c>
      <x:c r="D10" s="28" t="str">
        <x:v>Manual search reduction target</x:v>
      </x:c>
      <x:c r="E10" s="34" t="str">
        <x:v>≥70%</x:v>
      </x:c>
      <x:c r="G10" s="28" t="str">
        <x:v>Top-3 relevance precision target</x:v>
      </x:c>
      <x:c r="H10" s="34" t="str">
        <x:v>≥80%</x:v>
      </x:c>
    </x:row>
    <x:row r="11">
      <x:c r="A11" s="41" t="str">
        <x:v>Add GPU only for self-hosted inference</x:v>
      </x:c>
      <x:c r="B11" s="41"/>
      <x:c r="D11" s="41" t="str">
        <x:v>Measured against current RCU workflow</x:v>
      </x:c>
      <x:c r="E11" s="41"/>
      <x:c r="G11" s="41" t="str">
        <x:v>After ranking calibration</x:v>
      </x:c>
      <x:c r="H11" s="41"/>
    </x:row>
    <x:row r="12">
      <x:c r="A12" s="41"/>
      <x:c r="B12" s="41"/>
      <x:c r="D12" s="41"/>
      <x:c r="E12" s="41"/>
      <x:c r="G12" s="41"/>
      <x:c r="H12" s="41"/>
    </x:row>
    <x:row r="15">
      <x:c r="A15" s="20" t="str">
        <x:v>Build Objective</x:v>
      </x:c>
      <x:c r="B15" s="20"/>
      <x:c r="C15" s="20"/>
      <x:c r="D15" s="20"/>
      <x:c r="E15" s="20"/>
      <x:c r="F15" s="20"/>
      <x:c r="G15" s="20"/>
      <x:c r="H15" s="20"/>
    </x:row>
    <x:row r="16">
      <x:c r="A16" s="48" t="str">
        <x:v>Deliver a usable evidence assistant in 4 weeks: extract claim facts, search public news/web/image sources, rank evidence, flag mismatches, and generate investigator-ready outputs with audit trail. The tool assists RCU; it does not make final fraud decisions.</x:v>
      </x:c>
      <x:c r="B16" s="48"/>
      <x:c r="C16" s="48"/>
      <x:c r="D16" s="48"/>
      <x:c r="E16" s="48"/>
      <x:c r="F16" s="48"/>
      <x:c r="G16" s="48"/>
      <x:c r="H16" s="48"/>
    </x:row>
    <x:row r="17">
      <x:c r="A17" s="48"/>
      <x:c r="B17" s="48"/>
      <x:c r="C17" s="48"/>
      <x:c r="D17" s="48"/>
      <x:c r="E17" s="48"/>
      <x:c r="F17" s="48"/>
      <x:c r="G17" s="48"/>
      <x:c r="H17" s="48"/>
    </x:row>
    <x:row r="18">
      <x:c r="A18" s="48"/>
      <x:c r="B18" s="48"/>
      <x:c r="C18" s="48"/>
      <x:c r="D18" s="48"/>
      <x:c r="E18" s="48"/>
      <x:c r="F18" s="48"/>
      <x:c r="G18" s="48"/>
      <x:c r="H18" s="48"/>
    </x:row>
    <x:row r="21">
      <x:c r="A21" s="55" t="str">
        <x:v>Scope pillar</x:v>
      </x:c>
      <x:c r="B21" s="55" t="str">
        <x:v>What is delivered</x:v>
      </x:c>
      <x:c r="C21" s="55" t="str">
        <x:v>Excel tracking view</x:v>
      </x:c>
      <x:c r="E21" s="55" t="str">
        <x:v>Decision Discipline</x:v>
      </x:c>
      <x:c r="F21" s="55"/>
      <x:c r="G21" s="55"/>
      <x:c r="H21" s="55"/>
    </x:row>
    <x:row r="22">
      <x:c r="A22" s="48" t="str">
        <x:v>Input normalization</x:v>
      </x:c>
      <x:c r="B22" s="48" t="str">
        <x:v>FIR + Quest fields converted into structured accident object</x:v>
      </x:c>
      <x:c r="C22" s="48" t="str">
        <x:v>Schema + mandatory fields + confidence gate</x:v>
      </x:c>
      <x:c r="E22" s="63" t="str">
        <x:v>If Quest integration or search vendor approval is delayed in Week 1, proceed with secure CSV/manual upload and a pre-approved search API fallback. Pilot momentum is more important than waiting for perfect integration.</x:v>
      </x:c>
      <x:c r="F22" s="63"/>
      <x:c r="G22" s="63"/>
      <x:c r="H22" s="63"/>
    </x:row>
    <x:row r="23">
      <x:c r="A23" s="48" t="str">
        <x:v>Evidence discovery</x:v>
      </x:c>
      <x:c r="B23" s="48" t="str">
        <x:v>Multiple queries across news, web and image-source matches</x:v>
      </x:c>
      <x:c r="C23" s="48" t="str">
        <x:v>Search integration + dedupe + metadata table</x:v>
      </x:c>
      <x:c r="E23" s="63"/>
      <x:c r="F23" s="63"/>
      <x:c r="G23" s="63"/>
      <x:c r="H23" s="63"/>
    </x:row>
    <x:row r="24">
      <x:c r="A24" s="48" t="str">
        <x:v>Mismatch scoring</x:v>
      </x:c>
      <x:c r="B24" s="48" t="str">
        <x:v>Cause/date/location/vehicle/entity consistency flags</x:v>
      </x:c>
      <x:c r="C24" s="48" t="str">
        <x:v>Weighted scoring model + calibration notes</x:v>
      </x:c>
      <x:c r="E24" s="63"/>
      <x:c r="F24" s="63"/>
      <x:c r="G24" s="63"/>
      <x:c r="H24" s="63"/>
    </x:row>
    <x:row r="25">
      <x:c r="A25" s="48" t="str">
        <x:v>Output packaging</x:v>
      </x:c>
      <x:c r="B25" s="48" t="str">
        <x:v>Investigator report with top links, score, rationale and export</x:v>
      </x:c>
      <x:c r="C25" s="48" t="str">
        <x:v>Excel/PDF pack + audit log + UAT output</x:v>
      </x:c>
      <x:c r="E25" s="63"/>
      <x:c r="F25" s="63"/>
      <x:c r="G25" s="63"/>
      <x:c r="H25" s="63"/>
    </x:row>
  </x:sheetData>
  <x:mergeCells>
    <x:mergeCell ref="A1:H1"/>
    <x:mergeCell ref="A2:H2"/>
    <x:mergeCell ref="A4:H4"/>
    <x:mergeCell ref="A7:B8"/>
    <x:mergeCell ref="D7:E8"/>
    <x:mergeCell ref="G7:H8"/>
    <x:mergeCell ref="A11:B12"/>
    <x:mergeCell ref="D11:E12"/>
    <x:mergeCell ref="G11:H12"/>
    <x:mergeCell ref="A15:H15"/>
    <x:mergeCell ref="A16:H18"/>
    <x:mergeCell ref="E21:H21"/>
    <x:mergeCell ref="E22:H25"/>
  </x:mergeCells>
  <x:pageMargins left="0.7" right="0.7" top="0.75" bottom="0.75" header="0.3" footer="0.3"/>
  <x:tableParts count="1">
    <x:tablePart xmlns:r="http://schemas.openxmlformats.org/officeDocument/2006/relationships" r:id="Rfadcceb8997845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48" hidden="0" customWidth="1"/>
    <x:col min="5" max="5" width="38" hidden="0" customWidth="1"/>
    <x:col min="6" max="6" width="22" hidden="0" customWidth="1"/>
    <x:col min="7" max="7" width="22" hidden="0" customWidth="1"/>
    <x:col min="8" max="8" width="24" hidden="0" customWidth="1"/>
  </x:cols>
  <x:sheetData>
    <x:row r="1">
      <x:c r="A1" s="6" t="str">
        <x:v>4-Week Delivery Plan — Week-by-Week Output</x:v>
      </x:c>
      <x:c r="B1" s="6"/>
      <x:c r="C1" s="6"/>
      <x:c r="D1" s="6"/>
      <x:c r="E1" s="6"/>
      <x:c r="F1" s="6"/>
      <x:c r="G1" s="6"/>
      <x:c r="H1" s="6"/>
    </x:row>
    <x:row r="2">
      <x:c r="A2" s="13" t="str">
        <x:v>Each week ends with a demo, test cases and measurable handoff.</x:v>
      </x:c>
      <x:c r="B2" s="13"/>
      <x:c r="C2" s="13"/>
      <x:c r="D2" s="13"/>
      <x:c r="E2" s="13"/>
      <x:c r="F2" s="13"/>
      <x:c r="G2" s="13"/>
      <x:c r="H2" s="13"/>
    </x:row>
    <x:row r="4">
      <x:c r="A4" s="55" t="str">
        <x:v>Week</x:v>
      </x:c>
      <x:c r="B4" s="55" t="str">
        <x:v>Workstream</x:v>
      </x:c>
      <x:c r="C4" s="55" t="str">
        <x:v>Deadline</x:v>
      </x:c>
      <x:c r="D4" s="55" t="str">
        <x:v>Committed Output</x:v>
      </x:c>
      <x:c r="E4" s="55" t="str">
        <x:v>Acceptance Criteria</x:v>
      </x:c>
      <x:c r="F4" s="55" t="str">
        <x:v>Primary Dependency</x:v>
      </x:c>
      <x:c r="G4" s="55" t="str">
        <x:v>Fallback</x:v>
      </x:c>
      <x:c r="H4" s="55" t="str">
        <x:v>Owner / Reviewer</x:v>
      </x:c>
    </x:row>
    <x:row r="5">
      <x:c r="A5" s="71" t="str">
        <x:v>W1</x:v>
      </x:c>
      <x:c r="B5" s="48" t="str">
        <x:v>Discovery + ingestion</x:v>
      </x:c>
      <x:c r="C5" s="79" t="str">
        <x:v>Day 5</x:v>
      </x:c>
      <x:c r="D5" s="48" t="str">
        <x:v>Quest export/API path frozen; claim schema and mandatory fields defined; FIR OCR/text extraction MVP; human review screen for extracted facts.</x:v>
      </x:c>
      <x:c r="E5" s="48" t="str">
        <x:v>Minimum fields extracted with confidence score; reviewer can correct facts before search; sample cases loaded.</x:v>
      </x:c>
      <x:c r="F5" s="48" t="str">
        <x:v>Quest field access, FIR samples, RCU acceptance criteria.</x:v>
      </x:c>
      <x:c r="G5" s="48" t="str">
        <x:v>Secure CSV/manual upload using provided fields.</x:v>
      </x:c>
      <x:c r="H5" s="48" t="str">
        <x:v>Build team + RCU reviewer</x:v>
      </x:c>
    </x:row>
    <x:row r="6">
      <x:c r="A6" s="71" t="str">
        <x:v>W2</x:v>
      </x:c>
      <x:c r="B6" s="48" t="str">
        <x:v>Search engine</x:v>
      </x:c>
      <x:c r="C6" s="79" t="str">
        <x:v>Day 10</x:v>
      </x:c>
      <x:c r="D6" s="48" t="str">
        <x:v>Query generator live; news/web/image search integrations; async fetch and URL dedupe; evidence metadata stored.</x:v>
      </x:c>
      <x:c r="E6" s="48" t="str">
        <x:v>5–8 queries per case; duplicate URLs removed; source/date/snippet/query-used captured.</x:v>
      </x:c>
      <x:c r="F6" s="48" t="str">
        <x:v>Approved search API vendor and source whitelist.</x:v>
      </x:c>
      <x:c r="G6" s="48" t="str">
        <x:v>Use one approved vendor first; add others after pilot.</x:v>
      </x:c>
      <x:c r="H6" s="48" t="str">
        <x:v>Backend + RCU reviewer</x:v>
      </x:c>
    </x:row>
    <x:row r="7">
      <x:c r="A7" s="71" t="str">
        <x:v>W3</x:v>
      </x:c>
      <x:c r="B7" s="48" t="str">
        <x:v>Scoring + report</x:v>
      </x:c>
      <x:c r="C7" s="79" t="str">
        <x:v>Day 15</x:v>
      </x:c>
      <x:c r="D7" s="48" t="str">
        <x:v>Weighted relevance score; mismatch flags by cause/date/location; Excel/PDF evidence pack; audit log of query and source.</x:v>
      </x:c>
      <x:c r="E7" s="48" t="str">
        <x:v>Top evidence visible with rationale; mismatch flags explainable; export generated for sample cases.</x:v>
      </x:c>
      <x:c r="F7" s="48" t="str">
        <x:v>Historical cases + expected findings for calibration.</x:v>
      </x:c>
      <x:c r="G7" s="48" t="str">
        <x:v>Manual threshold calibration on 25–50 cases.</x:v>
      </x:c>
      <x:c r="H7" s="48" t="str">
        <x:v>AI/backend + RCU reviewer</x:v>
      </x:c>
    </x:row>
    <x:row r="8">
      <x:c r="A8" s="71" t="str">
        <x:v>W4</x:v>
      </x:c>
      <x:c r="B8" s="48" t="str">
        <x:v>UAT + deployment</x:v>
      </x:c>
      <x:c r="C8" s="79" t="str">
        <x:v>Day 20</x:v>
      </x:c>
      <x:c r="D8" s="48" t="str">
        <x:v>Test on 25–50 historical cases; ranking calibration with RCU; cloud/on-prem deployment package; tech docs and handover.</x:v>
      </x:c>
      <x:c r="E8" s="48" t="str">
        <x:v>Pilot deployed; UAT report prepared; known limitations documented; runbook shared.</x:v>
      </x:c>
      <x:c r="F8" s="48" t="str">
        <x:v>Deployment decision: cloud, VPC or on-prem.</x:v>
      </x:c>
      <x:c r="G8" s="48" t="str">
        <x:v>Containerized local/VPC deployment if production path pending.</x:v>
      </x:c>
      <x:c r="H8" s="48" t="str">
        <x:v>Build team + Universal Sompo IT/RCU</x:v>
      </x:c>
    </x:row>
    <x:row r="11">
      <x:c r="A11" s="20" t="str">
        <x:v>Pilot Success Metrics</x:v>
      </x:c>
      <x:c r="B11" s="20"/>
      <x:c r="C11" s="20"/>
      <x:c r="D11" s="20"/>
      <x:c r="E11" s="20"/>
      <x:c r="F11" s="20"/>
      <x:c r="G11" s="20"/>
      <x:c r="H11" s="20"/>
    </x:row>
    <x:row r="13">
      <x:c r="A13" s="55" t="str">
        <x:v>Metric</x:v>
      </x:c>
      <x:c r="B13" s="55" t="str">
        <x:v>Target</x:v>
      </x:c>
      <x:c r="C13" s="55" t="str">
        <x:v>How it is measured</x:v>
      </x:c>
      <x:c r="D13" s="55" t="str">
        <x:v>Notes</x:v>
      </x:c>
    </x:row>
    <x:row r="14">
      <x:c r="A14" s="48" t="str">
        <x:v>Manual evidence search time</x:v>
      </x:c>
      <x:c r="B14" s="48" t="str">
        <x:v>≥70% reduction</x:v>
      </x:c>
      <x:c r="C14" s="48" t="str">
        <x:v>Compare RCU baseline time vs tool-assisted time</x:v>
      </x:c>
      <x:c r="D14" s="48" t="str">
        <x:v>Primary business case</x:v>
      </x:c>
    </x:row>
    <x:row r="15">
      <x:c r="A15" s="48" t="str">
        <x:v>Top-3 evidence precision</x:v>
      </x:c>
      <x:c r="B15" s="48" t="str">
        <x:v>≥80%</x:v>
      </x:c>
      <x:c r="C15" s="48" t="str">
        <x:v>RCU marks if top-3 evidence links are relevant</x:v>
      </x:c>
      <x:c r="D15" s="48" t="str">
        <x:v>After calibration</x:v>
      </x:c>
    </x:row>
    <x:row r="16">
      <x:c r="A16" s="48" t="str">
        <x:v>Audit trail coverage</x:v>
      </x:c>
      <x:c r="B16" s="48" t="str">
        <x:v>100%</x:v>
      </x:c>
      <x:c r="C16" s="48" t="str">
        <x:v>Every output logs query, source, extracted field, score and correction</x:v>
      </x:c>
      <x:c r="D16" s="48" t="str">
        <x:v>Non-negotiable</x:v>
      </x:c>
    </x:row>
    <x:row r="17">
      <x:c r="A17" s="48" t="str">
        <x:v>Auto-claim rejection</x:v>
      </x:c>
      <x:c r="B17" s="48" t="str">
        <x:v>0</x:v>
      </x:c>
      <x:c r="C17" s="48" t="str">
        <x:v>No final rejection decision automated</x:v>
      </x:c>
      <x:c r="D17" s="48" t="str">
        <x:v>Human-in-loop only</x:v>
      </x:c>
    </x:row>
  </x:sheetData>
  <x:mergeCells>
    <x:mergeCell ref="A1:H1"/>
    <x:mergeCell ref="A2:H2"/>
    <x:mergeCell ref="A11:H11"/>
  </x:mergeCells>
  <x:pageMargins left="0.7" right="0.7" top="0.75" bottom="0.75" header="0.3" footer="0.3"/>
  <x:tableParts count="2">
    <x:tablePart xmlns:r="http://schemas.openxmlformats.org/officeDocument/2006/relationships" r:id="R8b783866b40640b7"/>
    <x:tablePart xmlns:r="http://schemas.openxmlformats.org/officeDocument/2006/relationships" r:id="Ra55c0b026d02414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4" hidden="0" customWidth="1"/>
  </x:cols>
  <x:sheetData>
    <x:row r="1">
      <x:c r="A1" s="6" t="str">
        <x:v>Detailed Workstream Map — What Gets Completed By When</x:v>
      </x:c>
      <x:c r="B1" s="6"/>
      <x:c r="C1" s="6"/>
      <x:c r="D1" s="6"/>
      <x:c r="E1" s="6"/>
      <x:c r="F1" s="6"/>
    </x:row>
    <x:row r="2">
      <x:c r="A2" s="13" t="str">
        <x:v>Organized around working software, not static documents.</x:v>
      </x:c>
      <x:c r="B2" s="13"/>
      <x:c r="C2" s="13"/>
      <x:c r="D2" s="13"/>
      <x:c r="E2" s="13"/>
      <x:c r="F2" s="13"/>
    </x:row>
    <x:row r="4">
      <x:c r="A4" s="55" t="str">
        <x:v>Workstream</x:v>
      </x:c>
      <x:c r="B4" s="55" t="str">
        <x:v>Week 1</x:v>
      </x:c>
      <x:c r="C4" s="55" t="str">
        <x:v>Week 2</x:v>
      </x:c>
      <x:c r="D4" s="55" t="str">
        <x:v>Week 3</x:v>
      </x:c>
      <x:c r="E4" s="55" t="str">
        <x:v>Week 4</x:v>
      </x:c>
      <x:c r="F4" s="55" t="str">
        <x:v>Completion Gate</x:v>
      </x:c>
    </x:row>
    <x:row r="5">
      <x:c r="A5" s="48" t="str">
        <x:v>Data + ingestion</x:v>
      </x:c>
      <x:c r="B5" s="48" t="str">
        <x:v>Claim schema; Quest sample fields; mandatory field list.</x:v>
      </x:c>
      <x:c r="C5" s="48" t="str">
        <x:v>FIR parser stable; OCR/text extraction tested.</x:v>
      </x:c>
      <x:c r="D5" s="48" t="str">
        <x:v>Correction logs used in scoring; confidence thresholds active.</x:v>
      </x:c>
      <x:c r="E5" s="48" t="str">
        <x:v>UAT fixes; final schema lock.</x:v>
      </x:c>
      <x:c r="F5" s="77" t="str">
        <x:v>Validated claim object ready for scoring.</x:v>
      </x:c>
    </x:row>
    <x:row r="6">
      <x:c r="A6" s="48" t="str">
        <x:v>Search + sources</x:v>
      </x:c>
      <x:c r="B6" s="48" t="str">
        <x:v>Vendor/API decision; source whitelist/blacklist.</x:v>
      </x:c>
      <x:c r="C6" s="48" t="str">
        <x:v>Web/news/image queries live; async workers running.</x:v>
      </x:c>
      <x:c r="D6" s="48" t="str">
        <x:v>Dedupe and source reliability tuning.</x:v>
      </x:c>
      <x:c r="E6" s="48" t="str">
        <x:v>Quota/rate-limit settings finalized.</x:v>
      </x:c>
      <x:c r="F6" s="77" t="str">
        <x:v>Top 10 ranked links with traceable source metadata.</x:v>
      </x:c>
    </x:row>
    <x:row r="7">
      <x:c r="A7" s="48" t="str">
        <x:v>Scoring logic</x:v>
      </x:c>
      <x:c r="B7" s="48" t="str">
        <x:v>Weights drafted with RCU inputs.</x:v>
      </x:c>
      <x:c r="C7" s="48" t="str">
        <x:v>Entity/date/location features tested.</x:v>
      </x:c>
      <x:c r="D7" s="48" t="str">
        <x:v>Mismatch flags and score rationale live.</x:v>
      </x:c>
      <x:c r="E7" s="48" t="str">
        <x:v>Thresholds calibrated against cases.</x:v>
      </x:c>
      <x:c r="F7" s="77" t="str">
        <x:v>RCU can see why each result is ranked.</x:v>
      </x:c>
    </x:row>
    <x:row r="8">
      <x:c r="A8" s="48" t="str">
        <x:v>UI + output</x:v>
      </x:c>
      <x:c r="B8" s="48" t="str">
        <x:v>Review screen wireframe.</x:v>
      </x:c>
      <x:c r="C8" s="48" t="str">
        <x:v>Evidence list MVP with source tags.</x:v>
      </x:c>
      <x:c r="D8" s="48" t="str">
        <x:v>Excel/PDF exports and case summary.</x:v>
      </x:c>
      <x:c r="E8" s="48" t="str">
        <x:v>Final handover package.</x:v>
      </x:c>
      <x:c r="F8" s="77" t="str">
        <x:v>Investigator-ready report exported.</x:v>
      </x:c>
    </x:row>
    <x:row r="9">
      <x:c r="A9" s="48" t="str">
        <x:v>Deployment</x:v>
      </x:c>
      <x:c r="B9" s="48" t="str">
        <x:v>Cloud/VPC path confirmed.</x:v>
      </x:c>
      <x:c r="C9" s="48" t="str">
        <x:v>Dev environment containerized.</x:v>
      </x:c>
      <x:c r="D9" s="48" t="str">
        <x:v>Staging build and logging.</x:v>
      </x:c>
      <x:c r="E9" s="48" t="str">
        <x:v>Pilot deployment and documentation.</x:v>
      </x:c>
      <x:c r="F9" s="77" t="str">
        <x:v>Dockerized deployment package and runbook.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351747d99214d6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34" hidden="0" customWidth="1"/>
    <x:col min="5" max="5" width="28" hidden="0" customWidth="1"/>
    <x:col min="6" max="6" width="28" hidden="0" customWidth="1"/>
  </x:cols>
  <x:sheetData>
    <x:row r="1">
      <x:c r="A1" s="6" t="str">
        <x:v>Target Architecture — Retrieval + Ranking + Summarization</x:v>
      </x:c>
      <x:c r="B1" s="6"/>
      <x:c r="C1" s="6"/>
      <x:c r="D1" s="6"/>
      <x:c r="E1" s="6"/>
      <x:c r="F1" s="6"/>
    </x:row>
    <x:row r="2">
      <x:c r="A2" s="13" t="str">
        <x:v>Async workers search in parallel, scoring stays explainable, and every output is traceable.</x:v>
      </x:c>
      <x:c r="B2" s="13"/>
      <x:c r="C2" s="13"/>
      <x:c r="D2" s="13"/>
      <x:c r="E2" s="13"/>
      <x:c r="F2" s="13"/>
    </x:row>
    <x:row r="4">
      <x:c r="A4" s="55" t="str">
        <x:v>Layer / Component</x:v>
      </x:c>
      <x:c r="B4" s="55" t="str">
        <x:v>Role in System</x:v>
      </x:c>
      <x:c r="C4" s="55" t="str">
        <x:v>Stores / Processes</x:v>
      </x:c>
      <x:c r="D4" s="55" t="str">
        <x:v>Key Dependency</x:v>
      </x:c>
      <x:c r="E4" s="55" t="str">
        <x:v>Pilot Mode</x:v>
      </x:c>
      <x:c r="F4" s="55" t="str">
        <x:v>Notes</x:v>
      </x:c>
    </x:row>
    <x:row r="5">
      <x:c r="A5" s="48" t="str">
        <x:v>Quest / FIR Docs</x:v>
      </x:c>
      <x:c r="B5" s="48" t="str">
        <x:v>Primary case input source</x:v>
      </x:c>
      <x:c r="C5" s="48" t="str">
        <x:v>Claim fields, FIR text/PDF, uploaded documents</x:v>
      </x:c>
      <x:c r="D5" s="48" t="str">
        <x:v>Quest export/API/manual upload</x:v>
      </x:c>
      <x:c r="E5" s="48" t="str">
        <x:v>CSV/manual upload fallback allowed</x:v>
      </x:c>
      <x:c r="F5" s="48" t="str">
        <x:v>No pilot stall if Quest API is delayed.</x:v>
      </x:c>
    </x:row>
    <x:row r="6">
      <x:c r="A6" s="48" t="str">
        <x:v>Claim Fact Extractor</x:v>
      </x:c>
      <x:c r="B6" s="48" t="str">
        <x:v>Converts raw FIR/Quest data into structured accident object</x:v>
      </x:c>
      <x:c r="C6" s="48" t="str">
        <x:v>Date, time, location, vehicles, parties, cause, police station, district/state</x:v>
      </x:c>
      <x:c r="D6" s="48" t="str">
        <x:v>OCR + LLM JSON extraction</x:v>
      </x:c>
      <x:c r="E6" s="48" t="str">
        <x:v>Human review before search</x:v>
      </x:c>
      <x:c r="F6" s="48" t="str">
        <x:v>Bad facts create garbage evidence; this is the first quality gate.</x:v>
      </x:c>
    </x:row>
    <x:row r="7">
      <x:c r="A7" s="48" t="str">
        <x:v>Query Generator</x:v>
      </x:c>
      <x:c r="B7" s="48" t="str">
        <x:v>Creates multiple targeted search queries</x:v>
      </x:c>
      <x:c r="C7" s="48" t="str">
        <x:v>Location/date/vehicle/victim/road accident Hindi/local variants</x:v>
      </x:c>
      <x:c r="D7" s="48" t="str">
        <x:v>Claim object confidence</x:v>
      </x:c>
      <x:c r="E7" s="48" t="str">
        <x:v>5–8 queries per case</x:v>
      </x:c>
      <x:c r="F7" s="48" t="str">
        <x:v>Search breadth matters for rural/local news.</x:v>
      </x:c>
    </x:row>
    <x:row r="8">
      <x:c r="A8" s="48" t="str">
        <x:v>Search Aggregator</x:v>
      </x:c>
      <x:c r="B8" s="48" t="str">
        <x:v>Runs news/web/image searches in parallel</x:v>
      </x:c>
      <x:c r="C8" s="48" t="str">
        <x:v>URLs, snippets, metadata, source, date, image matches</x:v>
      </x:c>
      <x:c r="D8" s="48" t="str">
        <x:v>Search API vendor</x:v>
      </x:c>
      <x:c r="E8" s="48" t="str">
        <x:v>Async workers + retries</x:v>
      </x:c>
      <x:c r="F8" s="48" t="str">
        <x:v>Controls latency and API quota.</x:v>
      </x:c>
    </x:row>
    <x:row r="9">
      <x:c r="A9" s="48" t="str">
        <x:v>Evidence Extractor</x:v>
      </x:c>
      <x:c r="B9" s="48" t="str">
        <x:v>Reads article/page metadata and relevant text</x:v>
      </x:c>
      <x:c r="C9" s="48" t="str">
        <x:v>Title, source, publication date, body/snippet, image URL</x:v>
      </x:c>
      <x:c r="D9" s="48" t="str">
        <x:v>Fetcher/parser reliability</x:v>
      </x:c>
      <x:c r="E9" s="48" t="str">
        <x:v>Source whitelist/blacklist</x:v>
      </x:c>
      <x:c r="F9" s="48" t="str">
        <x:v>Messy local pages need fallback snippets.</x:v>
      </x:c>
    </x:row>
    <x:row r="10">
      <x:c r="A10" s="48" t="str">
        <x:v>Scoring + Dashboard</x:v>
      </x:c>
      <x:c r="B10" s="48" t="str">
        <x:v>Ranks evidence and shows mismatch flags</x:v>
      </x:c>
      <x:c r="C10" s="48" t="str">
        <x:v>Relevance score, cause/date/location/entity flags, rationale</x:v>
      </x:c>
      <x:c r="D10" s="48" t="str">
        <x:v>Weighted scoring rules + RCU calibration</x:v>
      </x:c>
      <x:c r="E10" s="48" t="str">
        <x:v>Explainable scoring only</x:v>
      </x:c>
      <x:c r="F10" s="48" t="str">
        <x:v>No black-box fraud decision.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1b12254f459416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20" hidden="0" customWidth="1"/>
    <x:col min="5" max="5" width="46" hidden="0" customWidth="1"/>
    <x:col min="6" max="6" width="28" hidden="0" customWidth="1"/>
    <x:col min="7" max="7" width="24" hidden="0" customWidth="1"/>
  </x:cols>
  <x:sheetData>
    <x:row r="1">
      <x:c r="A1" s="6" t="str">
        <x:v>System Requirements — Pilot Default Configuration</x:v>
      </x:c>
      <x:c r="B1" s="6"/>
      <x:c r="C1" s="6"/>
      <x:c r="D1" s="6"/>
      <x:c r="E1" s="6"/>
      <x:c r="F1" s="6"/>
      <x:c r="G1" s="6"/>
    </x:row>
    <x:row r="2">
      <x:c r="A2" s="13" t="str">
        <x:v>Recommended first build is API-first. GPU is optional unless self-hosted AI is required inside the VPC.</x:v>
      </x:c>
      <x:c r="B2" s="13"/>
      <x:c r="C2" s="13"/>
      <x:c r="D2" s="13"/>
      <x:c r="E2" s="13"/>
      <x:c r="F2" s="13"/>
      <x:c r="G2" s="13"/>
    </x:row>
    <x:row r="4">
      <x:c r="A4" s="55" t="str">
        <x:v>Component</x:v>
      </x:c>
      <x:c r="B4" s="55" t="str">
        <x:v>CPU / GPU</x:v>
      </x:c>
      <x:c r="C4" s="55" t="str">
        <x:v>RAM</x:v>
      </x:c>
      <x:c r="D4" s="55" t="str">
        <x:v>Storage</x:v>
      </x:c>
      <x:c r="E4" s="55" t="str">
        <x:v>Purpose</x:v>
      </x:c>
      <x:c r="F4" s="55" t="str">
        <x:v>Required for Pilot?</x:v>
      </x:c>
      <x:c r="G4" s="55" t="str">
        <x:v>Notes</x:v>
      </x:c>
    </x:row>
    <x:row r="5">
      <x:c r="A5" s="48" t="str">
        <x:v>Application/API VM</x:v>
      </x:c>
      <x:c r="B5" s="48" t="str">
        <x:v>4 vCPU</x:v>
      </x:c>
      <x:c r="C5" s="48" t="str">
        <x:v>16 GB</x:v>
      </x:c>
      <x:c r="D5" s="48" t="str">
        <x:v>100 GB SSD</x:v>
      </x:c>
      <x:c r="E5" s="48" t="str">
        <x:v>FastAPI, auth, dashboard backend, API orchestration, logging.</x:v>
      </x:c>
      <x:c r="F5" s="48" t="str">
        <x:v>Yes</x:v>
      </x:c>
      <x:c r="G5" s="48" t="str">
        <x:v>Ubuntu 22.04 + Docker.</x:v>
      </x:c>
    </x:row>
    <x:row r="6">
      <x:c r="A6" s="48" t="str">
        <x:v>PostgreSQL</x:v>
      </x:c>
      <x:c r="B6" s="48" t="str">
        <x:v>2–4 vCPU</x:v>
      </x:c>
      <x:c r="C6" s="48" t="str">
        <x:v>8–16 GB</x:v>
      </x:c>
      <x:c r="D6" s="48" t="str">
        <x:v>Managed DB / SSD</x:v>
      </x:c>
      <x:c r="E6" s="48" t="str">
        <x:v>Claim object, evidence metadata, scores, audit logs.</x:v>
      </x:c>
      <x:c r="F6" s="48" t="str">
        <x:v>Yes</x:v>
      </x:c>
      <x:c r="G6" s="48" t="str">
        <x:v>Can be managed cloud DB.</x:v>
      </x:c>
    </x:row>
    <x:row r="7">
      <x:c r="A7" s="48" t="str">
        <x:v>Redis</x:v>
      </x:c>
      <x:c r="B7" s="48" t="str">
        <x:v>Shared / 1–2 vCPU</x:v>
      </x:c>
      <x:c r="C7" s="48" t="str">
        <x:v>2–4 GB</x:v>
      </x:c>
      <x:c r="D7" s="48" t="str">
        <x:v>Small persistent / managed</x:v>
      </x:c>
      <x:c r="E7" s="48" t="str">
        <x:v>Cache repeated searches, URL fetches, queue support.</x:v>
      </x:c>
      <x:c r="F7" s="48" t="str">
        <x:v>Yes</x:v>
      </x:c>
      <x:c r="G7" s="48" t="str">
        <x:v>Helps repeated investigations and latency.</x:v>
      </x:c>
    </x:row>
    <x:row r="8">
      <x:c r="A8" s="48" t="str">
        <x:v>Object Storage</x:v>
      </x:c>
      <x:c r="B8" s="48" t="str">
        <x:v>N/A</x:v>
      </x:c>
      <x:c r="C8" s="48" t="str">
        <x:v>N/A</x:v>
      </x:c>
      <x:c r="D8" s="48" t="str">
        <x:v>100–250 GB</x:v>
      </x:c>
      <x:c r="E8" s="48" t="str">
        <x:v>FIR docs, evidence exports, PDF/Excel packs.</x:v>
      </x:c>
      <x:c r="F8" s="48" t="str">
        <x:v>Yes</x:v>
      </x:c>
      <x:c r="G8" s="48" t="str">
        <x:v>S3/GCS/Azure Blob or equivalent.</x:v>
      </x:c>
    </x:row>
    <x:row r="9">
      <x:c r="A9" s="48" t="str">
        <x:v>AI/OCR Layer — API-first</x:v>
      </x:c>
      <x:c r="B9" s="48" t="str">
        <x:v>No dedicated GPU</x:v>
      </x:c>
      <x:c r="C9" s="48" t="str">
        <x:v>N/A</x:v>
      </x:c>
      <x:c r="D9" s="48" t="str">
        <x:v>N/A</x:v>
      </x:c>
      <x:c r="E9" s="48" t="str">
        <x:v>Managed OCR/LLM or internal model endpoint for extraction, summary and embeddings.</x:v>
      </x:c>
      <x:c r="F9" s="48" t="str">
        <x:v>Recommended default</x:v>
      </x:c>
      <x:c r="G9" s="48" t="str">
        <x:v>Lowest operational complexity.</x:v>
      </x:c>
    </x:row>
    <x:row r="10">
      <x:c r="A10" s="48" t="str">
        <x:v>AI/OCR Layer — self-hosted</x:v>
      </x:c>
      <x:c r="B10" s="48" t="str">
        <x:v>T4/L4/A10G GPU</x:v>
      </x:c>
      <x:c r="C10" s="48" t="str">
        <x:v>16–28 GB host RAM</x:v>
      </x:c>
      <x:c r="D10" s="48" t="str">
        <x:v>100 GB SSD</x:v>
      </x:c>
      <x:c r="E10" s="48" t="str">
        <x:v>Self-hosted inference for extraction, embeddings and image similarity.</x:v>
      </x:c>
      <x:c r="F10" s="48" t="str">
        <x:v>Conditional</x:v>
      </x:c>
      <x:c r="G10" s="48" t="str">
        <x:v>Use only if data residency or procurement demands it.</x:v>
      </x:c>
    </x:row>
    <x:row r="11">
      <x:c r="A11" s="48" t="str">
        <x:v>Security Baseline</x:v>
      </x:c>
      <x:c r="B11" s="48" t="str">
        <x:v>N/A</x:v>
      </x:c>
      <x:c r="C11" s="48" t="str">
        <x:v>N/A</x:v>
      </x:c>
      <x:c r="D11" s="48" t="str">
        <x:v>N/A</x:v>
      </x:c>
      <x:c r="E11" s="48" t="str">
        <x:v>VPC/VPN access, encryption at rest, RBAC, PII redaction, full query-source audit trail.</x:v>
      </x:c>
      <x:c r="F11" s="48" t="str">
        <x:v>Yes</x:v>
      </x:c>
      <x:c r="G11" s="48" t="str">
        <x:v>Needed before UAT with real cases.</x:v>
      </x:c>
    </x:row>
    <x:row r="13">
      <x:c r="A13" s="63" t="str">
        <x:v>Pilot Sizing Assumption: 20–50 complaints/day, 3–5 concurrent investigators, 60–90 sec evidence turnaround target.</x:v>
      </x:c>
      <x:c r="B13" s="63"/>
      <x:c r="C13" s="63"/>
      <x:c r="D13" s="63"/>
      <x:c r="E13" s="63"/>
      <x:c r="F13" s="63"/>
      <x:c r="G13" s="63"/>
    </x:row>
  </x:sheetData>
  <x:mergeCells>
    <x:mergeCell ref="A1:G1"/>
    <x:mergeCell ref="A2:G2"/>
    <x:mergeCell ref="A13:G13"/>
  </x:mergeCells>
  <x:pageMargins left="0.7" right="0.7" top="0.75" bottom="0.75" header="0.3" footer="0.3"/>
  <x:tableParts count="1">
    <x:tablePart xmlns:r="http://schemas.openxmlformats.org/officeDocument/2006/relationships" r:id="Rb5abd7bc8c564a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6" hidden="0" customWidth="1"/>
    <x:col min="4" max="4" width="12" hidden="0" customWidth="1"/>
    <x:col min="5" max="5" width="14" hidden="0" customWidth="1"/>
    <x:col min="6" max="6" width="16" hidden="0" customWidth="1"/>
    <x:col min="7" max="7" width="16" hidden="0" customWidth="1"/>
    <x:col min="8" max="8" width="32" hidden="0" customWidth="1"/>
    <x:col min="9" max="9" width="20" hidden="0" customWidth="1"/>
  </x:cols>
  <x:sheetData>
    <x:row r="1">
      <x:c r="A1" s="6" t="str">
        <x:v>GPU &amp; Cloud Cost — Pilot Month Scenarios</x:v>
      </x:c>
      <x:c r="B1" s="6"/>
      <x:c r="C1" s="6"/>
      <x:c r="D1" s="6"/>
      <x:c r="E1" s="6"/>
      <x:c r="F1" s="6"/>
      <x:c r="G1" s="6"/>
      <x:c r="H1" s="6"/>
      <x:c r="I1" s="6"/>
    </x:row>
    <x:row r="2">
      <x:c r="A2" s="13" t="str">
        <x:v>Rates are on-demand estimates from the deck. Final cost should be validated in the chosen cloud region before procurement.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55" t="str">
        <x:v>Assumption</x:v>
      </x:c>
      <x:c r="B4" s="55" t="str">
        <x:v>Value</x:v>
      </x:c>
    </x:row>
    <x:row r="5">
      <x:c r="A5" s="48" t="str">
        <x:v>FX rate USD to INR</x:v>
      </x:c>
      <x:c r="B5" s="84" t="n">
        <x:v>94.6</x:v>
      </x:c>
    </x:row>
    <x:row r="6">
      <x:c r="A6" s="48" t="str">
        <x:v>Testing hours / month</x:v>
      </x:c>
      <x:c r="B6" s="84" t="n">
        <x:v>160</x:v>
      </x:c>
    </x:row>
    <x:row r="7">
      <x:c r="A7" s="48" t="str">
        <x:v>Always-on hours / month</x:v>
      </x:c>
      <x:c r="B7" s="84" t="n">
        <x:v>730</x:v>
      </x:c>
    </x:row>
    <x:row r="8">
      <x:c r="A8" s="48" t="str">
        <x:v>API-first base monthly range</x:v>
      </x:c>
      <x:c r="B8" s="48" t="str">
        <x:v>₹40k–₹1.1L</x:v>
      </x:c>
    </x:row>
    <x:row r="11">
      <x:c r="A11" s="55" t="str">
        <x:v>Scenario</x:v>
      </x:c>
      <x:c r="B11" s="55" t="str">
        <x:v>GPU</x:v>
      </x:c>
      <x:c r="C11" s="55" t="str">
        <x:v>Typical Spec</x:v>
      </x:c>
      <x:c r="D11" s="55" t="str">
        <x:v>USD/hr</x:v>
      </x:c>
      <x:c r="E11" s="55" t="str">
        <x:v>INR/hr</x:v>
      </x:c>
      <x:c r="F11" s="55" t="str">
        <x:v>Cost @160h</x:v>
      </x:c>
      <x:c r="G11" s="55" t="str">
        <x:v>Cost @730h</x:v>
      </x:c>
      <x:c r="H11" s="55" t="str">
        <x:v>Use</x:v>
      </x:c>
      <x:c r="I11" s="55" t="str">
        <x:v>Decision</x:v>
      </x:c>
    </x:row>
    <x:row r="12">
      <x:c r="A12" s="48" t="str">
        <x:v>API-first pilot</x:v>
      </x:c>
      <x:c r="B12" s="48" t="str">
        <x:v>No dedicated GPU</x:v>
      </x:c>
      <x:c r="C12" s="48" t="str">
        <x:v>App + DB + Redis + storage + managed AI usage</x:v>
      </x:c>
      <x:c r="D12" s="48"/>
      <x:c r="E12" s="48"/>
      <x:c r="F12" s="48"/>
      <x:c r="G12" s="48"/>
      <x:c r="H12" s="48" t="str">
        <x:v>Recommended default</x:v>
      </x:c>
      <x:c r="I12" s="48" t="str">
        <x:v>Use first</x:v>
      </x:c>
    </x:row>
    <x:row r="13">
      <x:c r="A13" s="48" t="str">
        <x:v>AWS g4dn.xlarge</x:v>
      </x:c>
      <x:c r="B13" s="48" t="str">
        <x:v>1× NVIDIA T4</x:v>
      </x:c>
      <x:c r="C13" s="48" t="str">
        <x:v>4 vCPU, 16 GB RAM</x:v>
      </x:c>
      <x:c r="D13" s="86" t="n">
        <x:v>0.526</x:v>
      </x:c>
      <x:c r="E13" s="88" t="n">
        <x:f>D13*$B$5</x:f>
        <x:v>49.7596</x:v>
      </x:c>
      <x:c r="F13" s="88" t="n">
        <x:f>E13*$B$6</x:f>
        <x:v>7961.536</x:v>
      </x:c>
      <x:c r="G13" s="88" t="n">
        <x:f>E13*$B$7</x:f>
        <x:v>36324.508</x:v>
      </x:c>
      <x:c r="H13" s="48" t="str">
        <x:v>Dev/UAT only</x:v>
      </x:c>
      <x:c r="I13" s="48" t="str">
        <x:v>Use for dev/UAT</x:v>
      </x:c>
    </x:row>
    <x:row r="14">
      <x:c r="A14" s="48" t="str">
        <x:v>GCP g2-standard-4</x:v>
      </x:c>
      <x:c r="B14" s="48" t="str">
        <x:v>1× NVIDIA L4</x:v>
      </x:c>
      <x:c r="C14" s="48" t="str">
        <x:v>4 vCPU, 16 GB RAM</x:v>
      </x:c>
      <x:c r="D14" s="86" t="n">
        <x:v>0.707</x:v>
      </x:c>
      <x:c r="E14" s="88" t="n">
        <x:f>D14*$B$5</x:f>
        <x:v>66.8822</x:v>
      </x:c>
      <x:c r="F14" s="88" t="n">
        <x:f>E14*$B$6</x:f>
        <x:v>10701.152</x:v>
      </x:c>
      <x:c r="G14" s="88" t="n">
        <x:f>E14*$B$7</x:f>
        <x:v>48824.006</x:v>
      </x:c>
      <x:c r="H14" s="48" t="str">
        <x:v>Best self-host option</x:v>
      </x:c>
      <x:c r="I14" s="48" t="str">
        <x:v>Use if self-hosting</x:v>
      </x:c>
    </x:row>
    <x:row r="15">
      <x:c r="A15" s="48" t="str">
        <x:v>AWS g5.xlarge</x:v>
      </x:c>
      <x:c r="B15" s="48" t="str">
        <x:v>1× NVIDIA A10G</x:v>
      </x:c>
      <x:c r="C15" s="48" t="str">
        <x:v>4 vCPU, 16 GB RAM</x:v>
      </x:c>
      <x:c r="D15" s="86" t="n">
        <x:v>1.006</x:v>
      </x:c>
      <x:c r="E15" s="88" t="n">
        <x:f>D15*$B$5</x:f>
        <x:v>95.1676</x:v>
      </x:c>
      <x:c r="F15" s="88" t="n">
        <x:f>E15*$B$6</x:f>
        <x:v>15226.815999999999</x:v>
      </x:c>
      <x:c r="G15" s="88" t="n">
        <x:f>E15*$B$7</x:f>
        <x:v>69472.348</x:v>
      </x:c>
      <x:c r="H15" s="48" t="str">
        <x:v>Only if headroom needed</x:v>
      </x:c>
      <x:c r="I15" s="48" t="str">
        <x:v>Use only if needed</x:v>
      </x:c>
    </x:row>
    <x:row r="16">
      <x:c r="A16" s="48" t="str">
        <x:v>Azure NC4as T4 v3</x:v>
      </x:c>
      <x:c r="B16" s="48" t="str">
        <x:v>1× NVIDIA T4</x:v>
      </x:c>
      <x:c r="C16" s="48" t="str">
        <x:v>4 vCPU, 28 GB RAM</x:v>
      </x:c>
      <x:c r="D16" s="86" t="n">
        <x:v>0.526</x:v>
      </x:c>
      <x:c r="E16" s="88" t="n">
        <x:f>D16*$B$5</x:f>
        <x:v>49.7596</x:v>
      </x:c>
      <x:c r="F16" s="88" t="n">
        <x:f>E16*$B$6</x:f>
        <x:v>7961.536</x:v>
      </x:c>
      <x:c r="G16" s="88" t="n">
        <x:f>E16*$B$7</x:f>
        <x:v>36324.508</x:v>
      </x:c>
      <x:c r="H16" s="48" t="str">
        <x:v>Azure/VPC preference</x:v>
      </x:c>
      <x:c r="I16" s="48" t="str">
        <x:v>Use for Azure preference</x:v>
      </x:c>
    </x:row>
    <x:row r="19">
      <x:c r="A19" s="20" t="str">
        <x:v>Practical Recommendation</x:v>
      </x:c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63" t="str">
        <x:v>Start API-first. Add L4 only if data residency or procurement demands self-hosted models. Avoid H100/A100 capacity for this 4-week evidence-finder pilot because the workload is extraction, embeddings, ranking and light summarization, not large-model training.</x:v>
      </x:c>
      <x:c r="B20" s="63"/>
      <x:c r="C20" s="63"/>
      <x:c r="D20" s="63"/>
      <x:c r="E20" s="63"/>
      <x:c r="F20" s="63"/>
      <x:c r="G20" s="63"/>
      <x:c r="H20" s="63"/>
      <x:c r="I20" s="63"/>
    </x:row>
    <x:row r="21">
      <x:c r="A21" s="63"/>
      <x:c r="B21" s="63"/>
      <x:c r="C21" s="63"/>
      <x:c r="D21" s="63"/>
      <x:c r="E21" s="63"/>
      <x:c r="F21" s="63"/>
      <x:c r="G21" s="63"/>
      <x:c r="H21" s="63"/>
      <x:c r="I21" s="63"/>
    </x:row>
    <x:row r="22">
      <x:c r="A22" s="63"/>
      <x:c r="B22" s="63"/>
      <x:c r="C22" s="63"/>
      <x:c r="D22" s="63"/>
      <x:c r="E22" s="63"/>
      <x:c r="F22" s="63"/>
      <x:c r="G22" s="63"/>
      <x:c r="H22" s="63"/>
      <x:c r="I22" s="63"/>
    </x:row>
  </x:sheetData>
  <x:mergeCells>
    <x:mergeCell ref="A1:I1"/>
    <x:mergeCell ref="A2:I2"/>
    <x:mergeCell ref="A19:I19"/>
    <x:mergeCell ref="A20:I22"/>
  </x:mergeCells>
  <x:pageMargins left="0.7" right="0.7" top="0.75" bottom="0.75" header="0.3" footer="0.3"/>
  <x:tableParts count="1">
    <x:tablePart xmlns:r="http://schemas.openxmlformats.org/officeDocument/2006/relationships" r:id="R771e4914cb2d432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6" hidden="0" customWidth="1"/>
    <x:col min="4" max="4" width="46" hidden="0" customWidth="1"/>
    <x:col min="5" max="5" width="26" hidden="0" customWidth="1"/>
  </x:cols>
  <x:sheetData>
    <x:row r="1">
      <x:c r="A1" s="6" t="str">
        <x:v>Fraud-Risk Scoring — Explainable, Weighted, Evidence-First</x:v>
      </x:c>
      <x:c r="B1" s="6"/>
      <x:c r="C1" s="6"/>
      <x:c r="D1" s="6"/>
      <x:c r="E1" s="6"/>
    </x:row>
    <x:row r="2">
      <x:c r="A2" s="13" t="str">
        <x:v>The dashboard ranks evidence; it does not make final claim decisions.</x:v>
      </x:c>
      <x:c r="B2" s="13"/>
      <x:c r="C2" s="13"/>
      <x:c r="D2" s="13"/>
      <x:c r="E2" s="13"/>
    </x:row>
    <x:row r="4">
      <x:c r="A4" s="55" t="str">
        <x:v>Score Component</x:v>
      </x:c>
      <x:c r="B4" s="55" t="str">
        <x:v>Weight</x:v>
      </x:c>
      <x:c r="C4" s="55" t="str">
        <x:v>What it Checks</x:v>
      </x:c>
      <x:c r="D4" s="55" t="str">
        <x:v>Example Signal</x:v>
      </x:c>
      <x:c r="E4" s="55" t="str">
        <x:v>Owner of Calibration</x:v>
      </x:c>
    </x:row>
    <x:row r="5">
      <x:c r="A5" s="48" t="str">
        <x:v>Semantic similarity</x:v>
      </x:c>
      <x:c r="B5" s="90" t="n">
        <x:v>0.35</x:v>
      </x:c>
      <x:c r="C5" s="48" t="str">
        <x:v>How closely article/page content matches claim facts.</x:v>
      </x:c>
      <x:c r="D5" s="48" t="str">
        <x:v>Same accident narrative, same district, same vehicle context.</x:v>
      </x:c>
      <x:c r="E5" s="48" t="str">
        <x:v>AI/backend + RCU</x:v>
      </x:c>
    </x:row>
    <x:row r="6">
      <x:c r="A6" s="48" t="str">
        <x:v>Keyword / entity match</x:v>
      </x:c>
      <x:c r="B6" s="90" t="n">
        <x:v>0.2</x:v>
      </x:c>
      <x:c r="C6" s="48" t="str">
        <x:v>Vehicle number, names, police station, district, road, party details.</x:v>
      </x:c>
      <x:c r="D6" s="48" t="str">
        <x:v>Vehicle number or victim name appears in public source.</x:v>
      </x:c>
      <x:c r="E6" s="48" t="str">
        <x:v>RCU</x:v>
      </x:c>
    </x:row>
    <x:row r="7">
      <x:c r="A7" s="48" t="str">
        <x:v>Date proximity</x:v>
      </x:c>
      <x:c r="B7" s="90" t="n">
        <x:v>0.15</x:v>
      </x:c>
      <x:c r="C7" s="48" t="str">
        <x:v>Distance between FIR accident date/time and article publication/event date.</x:v>
      </x:c>
      <x:c r="D7" s="48" t="str">
        <x:v>Article published near accident date.</x:v>
      </x:c>
      <x:c r="E7" s="48" t="str">
        <x:v>RCU</x:v>
      </x:c>
    </x:row>
    <x:row r="8">
      <x:c r="A8" s="48" t="str">
        <x:v>Location feasibility</x:v>
      </x:c>
      <x:c r="B8" s="90" t="n">
        <x:v>0.15</x:v>
      </x:c>
      <x:c r="C8" s="48" t="str">
        <x:v>Whether public report/map structure aligns with FIR spot.</x:v>
      </x:c>
      <x:c r="D8" s="48" t="str">
        <x:v>Road/spot/district match or conflict.</x:v>
      </x:c>
      <x:c r="E8" s="48" t="str">
        <x:v>RCU + maps validation</x:v>
      </x:c>
    </x:row>
    <x:row r="9">
      <x:c r="A9" s="48" t="str">
        <x:v>Source reliability</x:v>
      </x:c>
      <x:c r="B9" s="90" t="n">
        <x:v>0.15</x:v>
      </x:c>
      <x:c r="C9" s="48" t="str">
        <x:v>Source reputation, recency, duplication, whitelist/blacklist rules.</x:v>
      </x:c>
      <x:c r="D9" s="48" t="str">
        <x:v>Local news vs low-quality scraped page.</x:v>
      </x:c>
      <x:c r="E9" s="48" t="str">
        <x:v>RCU + IT</x:v>
      </x:c>
    </x:row>
    <x:row r="11">
      <x:c r="A11" s="63" t="str">
        <x:v>Total Weight</x:v>
      </x:c>
      <x:c r="B11" s="92" t="n">
        <x:f>SUM(B5:B9)</x:f>
        <x:v>1</x:v>
      </x:c>
    </x:row>
    <x:row r="14">
      <x:c r="A14" s="55" t="str">
        <x:v>Mismatch Flag</x:v>
      </x:c>
      <x:c r="B14" s="55" t="str">
        <x:v>What gets surfaced</x:v>
      </x:c>
    </x:row>
    <x:row r="15">
      <x:c r="A15" s="48" t="str">
        <x:v>CAUSE</x:v>
      </x:c>
      <x:c r="B15" s="48" t="str">
        <x:v>FIR and public evidence disagree on accident cause or direction of impact.</x:v>
      </x:c>
    </x:row>
    <x:row r="16">
      <x:c r="A16" s="48" t="str">
        <x:v>LOCATION</x:v>
      </x:c>
      <x:c r="B16" s="48" t="str">
        <x:v>FIR spot not aligned with public report or map road structure.</x:v>
      </x:c>
    </x:row>
    <x:row r="17">
      <x:c r="A17" s="48" t="str">
        <x:v>TIME</x:v>
      </x:c>
      <x:c r="B17" s="48" t="str">
        <x:v>Claim accident date/time is far from article timestamp or event date.</x:v>
      </x:c>
    </x:row>
    <x:row r="18">
      <x:c r="A18" s="48" t="str">
        <x:v>VEHICLE</x:v>
      </x:c>
      <x:c r="B18" s="48" t="str">
        <x:v>Vehicle number/type absent or contradictory in public source.</x:v>
      </x:c>
    </x:row>
    <x:row r="19">
      <x:c r="A19" s="48" t="str">
        <x:v>ENTITY</x:v>
      </x:c>
      <x:c r="B19" s="48" t="str">
        <x:v>Victim/driver names conflict with public source.</x:v>
      </x:c>
    </x:row>
  </x:sheetData>
  <x:mergeCells>
    <x:mergeCell ref="A1:E1"/>
    <x:mergeCell ref="A2:E2"/>
  </x:mergeCells>
  <x:pageMargins left="0.7" right="0.7" top="0.75" bottom="0.75" header="0.3" footer="0.3"/>
  <x:tableParts count="2">
    <x:tablePart xmlns:r="http://schemas.openxmlformats.org/officeDocument/2006/relationships" r:id="Rb0df1257a55d4ef6"/>
    <x:tablePart xmlns:r="http://schemas.openxmlformats.org/officeDocument/2006/relationships" r:id="Rc282bf2ab74c496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44" hidden="0" customWidth="1"/>
    <x:col min="4" max="4" width="22" hidden="0" customWidth="1"/>
    <x:col min="5" max="5" width="24" hidden="0" customWidth="1"/>
  </x:cols>
  <x:sheetData>
    <x:row r="1">
      <x:c r="A1" s="6" t="str">
        <x:v>Build Risks + Controls + Decisions Needed</x:v>
      </x:c>
      <x:c r="B1" s="6"/>
      <x:c r="C1" s="6"/>
      <x:c r="D1" s="6"/>
      <x:c r="E1" s="6"/>
    </x:row>
    <x:row r="2">
      <x:c r="A2" s="13" t="str">
        <x:v>Pilot risk is messy data, weak source availability and unclear integration ownership — not abstract model intelligence.</x:v>
      </x:c>
      <x:c r="B2" s="13"/>
      <x:c r="C2" s="13"/>
      <x:c r="D2" s="13"/>
      <x:c r="E2" s="13"/>
    </x:row>
    <x:row r="4">
      <x:c r="A4" s="55" t="str">
        <x:v>Risk / Decision Area</x:v>
      </x:c>
      <x:c r="B4" s="55" t="str">
        <x:v>Risk or Required Decision</x:v>
      </x:c>
      <x:c r="C4" s="55" t="str">
        <x:v>Control / Action</x:v>
      </x:c>
      <x:c r="D4" s="55" t="str">
        <x:v>Deadline</x:v>
      </x:c>
      <x:c r="E4" s="55" t="str">
        <x:v>Escalation Trigger</x:v>
      </x:c>
    </x:row>
    <x:row r="5">
      <x:c r="A5" s="48" t="str">
        <x:v>Sparse public data</x:v>
      </x:c>
      <x:c r="B5" s="48" t="str">
        <x:v>Rural accidents may not have public articles.</x:v>
      </x:c>
      <x:c r="C5" s="48" t="str">
        <x:v>Use multiple query variants, local-language terms, and mark “no public evidence found” without overclaiming.</x:v>
      </x:c>
      <x:c r="D5" s="48" t="str">
        <x:v>W2</x:v>
      </x:c>
      <x:c r="E5" s="48" t="str">
        <x:v>Low source coverage across test cases.</x:v>
      </x:c>
    </x:row>
    <x:row r="6">
      <x:c r="A6" s="48" t="str">
        <x:v>Hindi/local news extraction</x:v>
      </x:c>
      <x:c r="B6" s="48" t="str">
        <x:v>Messy pages and mixed-language reports reduce extraction quality.</x:v>
      </x:c>
      <x:c r="C6" s="48" t="str">
        <x:v>Fallback to snippets + metadata; source whitelist/blacklist; manual reviewer note.</x:v>
      </x:c>
      <x:c r="D6" s="48" t="str">
        <x:v>W2–W3</x:v>
      </x:c>
      <x:c r="E6" s="48" t="str">
        <x:v>Parser errors on repeated sources.</x:v>
      </x:c>
    </x:row>
    <x:row r="7">
      <x:c r="A7" s="48" t="str">
        <x:v>Search API latency/quota</x:v>
      </x:c>
      <x:c r="B7" s="48" t="str">
        <x:v>Evidence search may become slow or costly.</x:v>
      </x:c>
      <x:c r="C7" s="48" t="str">
        <x:v>Rate limiters, retry/backoff, Redis cache, vendor fallback.</x:v>
      </x:c>
      <x:c r="D7" s="48" t="str">
        <x:v>W1 decision</x:v>
      </x:c>
      <x:c r="E7" s="48" t="str">
        <x:v>Quota exhaustion or &gt;90 sec response.</x:v>
      </x:c>
    </x:row>
    <x:row r="8">
      <x:c r="A8" s="48" t="str">
        <x:v>FIR OCR errors</x:v>
      </x:c>
      <x:c r="B8" s="48" t="str">
        <x:v>Inconsistent PDF quality creates wrong claim facts.</x:v>
      </x:c>
      <x:c r="C8" s="48" t="str">
        <x:v>Confidence scores, human review screen, correction logs.</x:v>
      </x:c>
      <x:c r="D8" s="48" t="str">
        <x:v>W1–W2</x:v>
      </x:c>
      <x:c r="E8" s="48" t="str">
        <x:v>Mandatory fields below threshold.</x:v>
      </x:c>
    </x:row>
    <x:row r="9">
      <x:c r="A9" s="48" t="str">
        <x:v>False positives</x:v>
      </x:c>
      <x:c r="B9" s="48" t="str">
        <x:v>Evidence treated as proof instead of lead.</x:v>
      </x:c>
      <x:c r="C9" s="48" t="str">
        <x:v>Human-in-loop, rationale display, no auto-rejection, audit trail.</x:v>
      </x:c>
      <x:c r="D9" s="48" t="str">
        <x:v>Always</x:v>
      </x:c>
      <x:c r="E9" s="48" t="str">
        <x:v>Any final-decision automation request.</x:v>
      </x:c>
    </x:row>
    <x:row r="10">
      <x:c r="A10" s="48" t="str">
        <x:v>Quest integration mode</x:v>
      </x:c>
      <x:c r="B10" s="48" t="str">
        <x:v>API/export/manual upload path must be confirmed.</x:v>
      </x:c>
      <x:c r="C10" s="48" t="str">
        <x:v>Freeze API/export/manual path by Week 1; fallback to CSV/manual upload.</x:v>
      </x:c>
      <x:c r="D10" s="48" t="str">
        <x:v>Day 5</x:v>
      </x:c>
      <x:c r="E10" s="48" t="str">
        <x:v>No access by W1 end.</x:v>
      </x:c>
    </x:row>
    <x:row r="11">
      <x:c r="A11" s="48" t="str">
        <x:v>Search API vendor</x:v>
      </x:c>
      <x:c r="B11" s="48" t="str">
        <x:v>Vendor needs procurement/approval.</x:v>
      </x:c>
      <x:c r="C11" s="48" t="str">
        <x:v>Approve one vendor for pilot; add others later.</x:v>
      </x:c>
      <x:c r="D11" s="48" t="str">
        <x:v>Day 5</x:v>
      </x:c>
      <x:c r="E11" s="48" t="str">
        <x:v>Vendor not approved.</x:v>
      </x:c>
    </x:row>
    <x:row r="12">
      <x:c r="A12" s="48" t="str">
        <x:v>Deployment path</x:v>
      </x:c>
      <x:c r="B12" s="48" t="str">
        <x:v>Cloud/VPC/on-prem needs IT confirmation.</x:v>
      </x:c>
      <x:c r="C12" s="48" t="str">
        <x:v>Containerize app; keep VPC/on-prem compatible.</x:v>
      </x:c>
      <x:c r="D12" s="48" t="str">
        <x:v>W1–W2</x:v>
      </x:c>
      <x:c r="E12" s="48" t="str">
        <x:v>No infra decision by W2.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cbf5fbb1bc3410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52" hidden="0" customWidth="1"/>
    <x:col min="4" max="4" width="40" hidden="0" customWidth="1"/>
    <x:col min="5" max="5" width="22" hidden="0" customWidth="1"/>
    <x:col min="6" max="6" width="24" hidden="0" customWidth="1"/>
  </x:cols>
  <x:sheetData>
    <x:row r="1">
      <x:c r="A1" s="6" t="str">
        <x:v>Definition of Done — What Universal Sompo Receives After 4 Weeks</x:v>
      </x:c>
      <x:c r="B1" s="6"/>
      <x:c r="C1" s="6"/>
      <x:c r="D1" s="6"/>
      <x:c r="E1" s="6"/>
      <x:c r="F1" s="6"/>
    </x:row>
    <x:row r="2">
      <x:c r="A2" s="13" t="str">
        <x:v>A usable pilot package, not only code snippets or a demo video.</x:v>
      </x:c>
      <x:c r="B2" s="13"/>
      <x:c r="C2" s="13"/>
      <x:c r="D2" s="13"/>
      <x:c r="E2" s="13"/>
      <x:c r="F2" s="13"/>
    </x:row>
    <x:row r="4">
      <x:c r="A4" s="55" t="str">
        <x:v>No.</x:v>
      </x:c>
      <x:c r="B4" s="55" t="str">
        <x:v>Deliverable</x:v>
      </x:c>
      <x:c r="C4" s="55" t="str">
        <x:v>Description</x:v>
      </x:c>
      <x:c r="D4" s="55" t="str">
        <x:v>Acceptance Evidence</x:v>
      </x:c>
      <x:c r="E4" s="55" t="str">
        <x:v>Status</x:v>
      </x:c>
      <x:c r="F4" s="55" t="str">
        <x:v>Notes</x:v>
      </x:c>
    </x:row>
    <x:row r="5">
      <x:c r="A5" s="48" t="n">
        <x:v>1</x:v>
      </x:c>
      <x:c r="B5" s="48" t="str">
        <x:v>Working pilot app</x:v>
      </x:c>
      <x:c r="C5" s="48" t="str">
        <x:v>Case upload/input, fact review, evidence search, ranking, mismatch flags and investigator view.</x:v>
      </x:c>
      <x:c r="D5" s="48" t="str">
        <x:v>Demo on 25–50 historical cases.</x:v>
      </x:c>
      <x:c r="E5" s="48" t="str">
        <x:v>Planned</x:v>
      </x:c>
      <x:c r="F5" s="48" t="str"/>
    </x:row>
    <x:row r="6">
      <x:c r="A6" s="48" t="n">
        <x:v>2</x:v>
      </x:c>
      <x:c r="B6" s="48" t="str">
        <x:v>Evidence exports</x:v>
      </x:c>
      <x:c r="C6" s="48" t="str">
        <x:v>Excel/PDF pack with URL, source, date, relevance score, mismatch rationale and next verification step.</x:v>
      </x:c>
      <x:c r="D6" s="48" t="str">
        <x:v>Export files generated from pilot app.</x:v>
      </x:c>
      <x:c r="E6" s="48" t="str">
        <x:v>Planned</x:v>
      </x:c>
      <x:c r="F6" s="48" t="str"/>
    </x:row>
    <x:row r="7">
      <x:c r="A7" s="48" t="n">
        <x:v>3</x:v>
      </x:c>
      <x:c r="B7" s="48" t="str">
        <x:v>Audit trail</x:v>
      </x:c>
      <x:c r="C7" s="48" t="str">
        <x:v>Every query, source, extracted field, score and manual correction logged for review.</x:v>
      </x:c>
      <x:c r="D7" s="48" t="str">
        <x:v>Audit table and sample trace shared.</x:v>
      </x:c>
      <x:c r="E7" s="48" t="str">
        <x:v>Planned</x:v>
      </x:c>
      <x:c r="F7" s="48" t="str"/>
    </x:row>
    <x:row r="8">
      <x:c r="A8" s="48" t="n">
        <x:v>4</x:v>
      </x:c>
      <x:c r="B8" s="48" t="str">
        <x:v>Deployment package</x:v>
      </x:c>
      <x:c r="C8" s="48" t="str">
        <x:v>Dockerized backend, database schema, environment variables, runbook and handover notes.</x:v>
      </x:c>
      <x:c r="D8" s="48" t="str">
        <x:v>Repo/package + deployment runbook.</x:v>
      </x:c>
      <x:c r="E8" s="48" t="str">
        <x:v>Planned</x:v>
      </x:c>
      <x:c r="F8" s="48" t="str"/>
    </x:row>
    <x:row r="9">
      <x:c r="A9" s="48" t="n">
        <x:v>5</x:v>
      </x:c>
      <x:c r="B9" s="48" t="str">
        <x:v>UAT report</x:v>
      </x:c>
      <x:c r="C9" s="48" t="str">
        <x:v>Test case outcomes, ranking precision, known limitations, open issues and next build recommendations.</x:v>
      </x:c>
      <x:c r="D9" s="48" t="str">
        <x:v>UAT report signed by reviewer.</x:v>
      </x:c>
      <x:c r="E9" s="48" t="str">
        <x:v>Planned</x:v>
      </x:c>
      <x:c r="F9" s="48" t="str"/>
    </x:row>
    <x:row r="12">
      <x:c r="A12" s="63" t="str">
        <x:v>Next phase after pilot: move to production only after source coverage, top-3 precision, privacy posture and Quest integration are proven. Scaling weak evidence retrieval will only automate noise.</x:v>
      </x:c>
      <x:c r="B12" s="63"/>
      <x:c r="C12" s="63"/>
      <x:c r="D12" s="63"/>
      <x:c r="E12" s="63"/>
      <x:c r="F12" s="63"/>
    </x:row>
  </x:sheetData>
  <x:mergeCells>
    <x:mergeCell ref="A1:F1"/>
    <x:mergeCell ref="A2:F2"/>
    <x:mergeCell ref="A12:F12"/>
  </x:mergeCells>
  <x:conditionalFormatting sqref="E5:E9">
    <x:cfRule type="expression" dxfId="0" priority="1">
      <x:formula>E5="Done"</x:formula>
    </x:cfRule>
    <x:cfRule type="expression" dxfId="1" priority="2">
      <x:formula>E5="Blocked"</x:formula>
    </x:cfRule>
  </x:conditionalFormatting>
  <x:dataValidations count="1">
    <x:dataValidation type="list" sqref="E5:E9">
      <x:formula1>"Planned,In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a275f9960b44f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6" hidden="0" customWidth="1"/>
    <x:col min="3" max="3" width="34" hidden="0" customWidth="1"/>
  </x:cols>
  <x:sheetData>
    <x:row r="1">
      <x:c r="A1" s="6" t="str">
        <x:v>Source Notes + Assumptions</x:v>
      </x:c>
      <x:c r="B1" s="6"/>
      <x:c r="C1" s="6"/>
    </x:row>
    <x:row r="2">
      <x:c r="A2" s="13" t="str">
        <x:v>Workbook generated as a structured conversion of the Universal Sompo AI Claim Evidence Finder 4-week plan deck.</x:v>
      </x:c>
      <x:c r="B2" s="13"/>
      <x:c r="C2" s="13"/>
    </x:row>
    <x:row r="4">
      <x:c r="A4" s="55" t="str">
        <x:v>Assumption / Source</x:v>
      </x:c>
      <x:c r="B4" s="55" t="str">
        <x:v>Value</x:v>
      </x:c>
      <x:c r="C4" s="55" t="str">
        <x:v>Use</x:v>
      </x:c>
    </x:row>
    <x:row r="5">
      <x:c r="A5" s="48" t="str">
        <x:v>Input artifact</x:v>
      </x:c>
      <x:c r="B5" s="48" t="str">
        <x:v>Universal_Sompo_4_Week_Build_and_GPU_Cost_Plan.pptx</x:v>
      </x:c>
      <x:c r="C5" s="48" t="str">
        <x:v>Primary source deck converted into workbook</x:v>
      </x:c>
    </x:row>
    <x:row r="6">
      <x:c r="A6" s="48" t="str">
        <x:v>Reference artifact</x:v>
      </x:c>
      <x:c r="B6" s="48" t="str">
        <x:v>Universal_Sompo_AI_Claim_Evidence_Finder_Tech_Plan(1).pptx</x:v>
      </x:c>
      <x:c r="C6" s="48" t="str">
        <x:v>Earlier technical plan and scope reference</x:v>
      </x:c>
    </x:row>
    <x:row r="7">
      <x:c r="A7" s="48" t="str">
        <x:v>FX assumption</x:v>
      </x:c>
      <x:c r="B7" s="48" t="str">
        <x:v>$1 ≈ ₹94.6</x:v>
      </x:c>
      <x:c r="C7" s="48" t="str">
        <x:v>Used for GPU compute conversion; update cell B5 on GPU Cloud Cost sheet if needed</x:v>
      </x:c>
    </x:row>
    <x:row r="8">
      <x:c r="A8" s="48" t="str">
        <x:v>GPU runtime assumption</x:v>
      </x:c>
      <x:c r="B8" s="48" t="str">
        <x:v>160h = start/stop testing; 730h = always-on monthly runtime</x:v>
      </x:c>
      <x:c r="C8" s="48" t="str">
        <x:v>Used in formula-linked cost table</x:v>
      </x:c>
    </x:row>
    <x:row r="9">
      <x:c r="A9" s="48" t="str">
        <x:v>Cost limitation</x:v>
      </x:c>
      <x:c r="B9" s="48" t="str">
        <x:v>Cloud pricing varies by region, commitment, taxes and negotiated enterprise rates</x:v>
      </x:c>
      <x:c r="C9" s="48" t="str">
        <x:v>Validate before procurement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b695c2e4f254b64"/>
  </x:tableParts>
</x:worksheet>
</file>